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p_ppenafiel\respaldos2\Nuev\ENEMDU_REEMPLAZOS\Output\4.Reemplazos\5. 2025\1. Enero\"/>
    </mc:Choice>
  </mc:AlternateContent>
  <bookViews>
    <workbookView xWindow="570" yWindow="210" windowWidth="10890" windowHeight="4860"/>
  </bookViews>
  <sheets>
    <sheet name="enero" sheetId="9" r:id="rId1"/>
    <sheet name="Hoja3" sheetId="12" r:id="rId2"/>
    <sheet name="Hoja2" sheetId="11" r:id="rId3"/>
    <sheet name="Hoja1" sheetId="10" r:id="rId4"/>
  </sheets>
  <calcPr calcId="162913"/>
</workbook>
</file>

<file path=xl/calcChain.xml><?xml version="1.0" encoding="utf-8"?>
<calcChain xmlns="http://schemas.openxmlformats.org/spreadsheetml/2006/main">
  <c r="J10" i="9" l="1"/>
  <c r="C12" i="10" l="1"/>
  <c r="D12" i="10"/>
  <c r="D13" i="10"/>
</calcChain>
</file>

<file path=xl/sharedStrings.xml><?xml version="1.0" encoding="utf-8"?>
<sst xmlns="http://schemas.openxmlformats.org/spreadsheetml/2006/main" count="33" uniqueCount="19">
  <si>
    <t>Sale</t>
  </si>
  <si>
    <t>Entra</t>
  </si>
  <si>
    <t>Nro</t>
  </si>
  <si>
    <t>Conglomerados de reemplazo</t>
  </si>
  <si>
    <t>100250003203</t>
  </si>
  <si>
    <t>070150022801</t>
  </si>
  <si>
    <t>140751900103</t>
  </si>
  <si>
    <t>070150037501</t>
  </si>
  <si>
    <t>170156057806</t>
  </si>
  <si>
    <t>010150005302</t>
  </si>
  <si>
    <t>010150057502</t>
  </si>
  <si>
    <t>Muestra</t>
  </si>
  <si>
    <t>Reemplazo</t>
  </si>
  <si>
    <t>Muestra original</t>
  </si>
  <si>
    <t xml:space="preserve">Entra </t>
  </si>
  <si>
    <t>Cobertura</t>
  </si>
  <si>
    <t>No se reemplaza</t>
  </si>
  <si>
    <t>170150143416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</si>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</sst>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12"/>
      <color theme="1"/>
      <name val="Times New Roman"/>
      <family val="1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10" fontId="4" fillId="2" borderId="0" xfId="0" applyNumberFormat="1" applyFont="1" applyFill="1" applyAlignment="1">
      <alignment horizontal="center" vertical="center"/>
    </xf>
    <xf numFmtId="0" fontId="0" fillId="3" borderId="0" xfId="0" applyFill="1"/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right" vertical="center"/>
    </xf>
    <xf numFmtId="10" fontId="4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justify" vertical="center"/>
    </xf>
    <xf numFmtId="0" fontId="6" fillId="4" borderId="2" xfId="0" applyFont="1" applyFill="1" applyBorder="1" applyAlignment="1" applyProtection="1">
      <alignment horizontal="center" vertical="center"/>
    </xf>
    <xf numFmtId="164" fontId="6" fillId="0" borderId="3" xfId="0" applyNumberFormat="1" applyFont="1" applyBorder="1" applyAlignment="1" applyProtection="1">
      <alignment horizontal="center" vertical="center"/>
      <protection locked="0"/>
    </xf>
    <xf numFmtId="164" fontId="6" fillId="0" borderId="4" xfId="0" applyNumberFormat="1" applyFont="1" applyBorder="1" applyAlignment="1" applyProtection="1">
      <alignment horizontal="center" vertical="center"/>
      <protection locked="0"/>
    </xf>
    <xf numFmtId="0" fontId="6" fillId="4" borderId="2" xfId="0" applyFont="1" applyFill="1" applyBorder="1" applyAlignment="1">
      <alignment horizontal="center" vertical="center"/>
    </xf>
    <xf numFmtId="164" fontId="6" fillId="0" borderId="2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8"/>
  <sheetViews>
    <sheetView tabSelected="1" workbookViewId="0">
      <selection activeCell="D7" sqref="D7"/>
    </sheetView>
  </sheetViews>
  <sheetFormatPr baseColWidth="10" defaultRowHeight="15" x14ac:dyDescent="0.25"/>
  <cols>
    <col min="3" max="3" width="24.28515625" customWidth="1"/>
    <col min="4" max="4" width="26.85546875" customWidth="1"/>
    <col min="5" max="5" width="10.140625" customWidth="1"/>
  </cols>
  <sheetData>
    <row r="1" spans="2:10" ht="18.75" x14ac:dyDescent="0.25">
      <c r="B1" s="20" t="s">
        <v>3</v>
      </c>
      <c r="C1" s="20"/>
      <c r="D1" s="20"/>
    </row>
    <row r="2" spans="2:10" x14ac:dyDescent="0.25">
      <c r="B2" s="1" t="s">
        <v>2</v>
      </c>
      <c r="C2" s="1" t="s">
        <v>0</v>
      </c>
      <c r="D2" s="1" t="s">
        <v>1</v>
      </c>
    </row>
    <row r="3" spans="2:10" ht="15.75" x14ac:dyDescent="0.25">
      <c r="B3" s="2">
        <v>1</v>
      </c>
      <c r="C3" s="3">
        <v>80450900802</v>
      </c>
      <c r="D3" s="3">
        <v>80262000105</v>
      </c>
    </row>
    <row r="4" spans="2:10" ht="16.5" thickBot="1" x14ac:dyDescent="0.3">
      <c r="B4" s="2">
        <v>2</v>
      </c>
      <c r="C4" s="3">
        <v>80154900601</v>
      </c>
      <c r="D4" s="3">
        <v>80450906701</v>
      </c>
    </row>
    <row r="5" spans="2:10" ht="15.75" x14ac:dyDescent="0.25">
      <c r="B5" s="2">
        <v>3</v>
      </c>
      <c r="C5" s="3">
        <v>80254900202</v>
      </c>
      <c r="D5" s="3">
        <v>80450906901</v>
      </c>
      <c r="H5" s="16">
        <v>220453900801</v>
      </c>
      <c r="I5" s="17" t="s">
        <v>18</v>
      </c>
      <c r="J5" s="18">
        <v>4</v>
      </c>
    </row>
    <row r="6" spans="2:10" ht="15.75" x14ac:dyDescent="0.25">
      <c r="B6" s="2">
        <v>4</v>
      </c>
      <c r="C6" s="3" t="s">
        <v>17</v>
      </c>
      <c r="D6" s="3">
        <v>170150201806</v>
      </c>
      <c r="H6" s="19">
        <v>200351900015</v>
      </c>
      <c r="I6" s="19" t="s">
        <v>18</v>
      </c>
      <c r="J6" s="18">
        <v>4</v>
      </c>
    </row>
    <row r="7" spans="2:10" ht="15.75" x14ac:dyDescent="0.25">
      <c r="B7" s="2">
        <v>5</v>
      </c>
      <c r="C7" s="3">
        <v>220150900103</v>
      </c>
      <c r="D7" s="3">
        <v>220350901602</v>
      </c>
      <c r="H7" s="19">
        <v>200350000153</v>
      </c>
      <c r="I7" s="19" t="s">
        <v>18</v>
      </c>
      <c r="J7" s="18">
        <v>4</v>
      </c>
    </row>
    <row r="8" spans="2:10" ht="15.75" x14ac:dyDescent="0.25">
      <c r="B8" s="2">
        <v>6</v>
      </c>
      <c r="C8" s="3"/>
      <c r="D8" s="3"/>
      <c r="H8" s="19">
        <v>90150300303</v>
      </c>
      <c r="I8" s="19" t="s">
        <v>18</v>
      </c>
      <c r="J8" s="18">
        <v>4</v>
      </c>
    </row>
    <row r="9" spans="2:10" ht="15.75" x14ac:dyDescent="0.25">
      <c r="B9" s="2">
        <v>7</v>
      </c>
      <c r="C9" s="3"/>
      <c r="D9" s="3"/>
      <c r="H9" s="19">
        <v>131750002406</v>
      </c>
      <c r="I9" s="19" t="s">
        <v>18</v>
      </c>
      <c r="J9" s="18">
        <v>4</v>
      </c>
    </row>
    <row r="10" spans="2:10" ht="15.75" x14ac:dyDescent="0.25">
      <c r="B10" s="2">
        <v>8</v>
      </c>
      <c r="C10" s="3"/>
      <c r="D10" s="3"/>
      <c r="H10" s="19"/>
      <c r="I10" s="19"/>
      <c r="J10" s="18">
        <f t="shared" ref="J10" si="0">COUNTIF(K10:T10,1)</f>
        <v>0</v>
      </c>
    </row>
    <row r="11" spans="2:10" ht="15.75" x14ac:dyDescent="0.25">
      <c r="B11" s="2">
        <v>9</v>
      </c>
      <c r="C11" s="3"/>
      <c r="D11" s="3"/>
    </row>
    <row r="12" spans="2:10" ht="15.75" x14ac:dyDescent="0.25">
      <c r="B12" s="2">
        <v>10</v>
      </c>
      <c r="C12" s="3"/>
      <c r="D12" s="3"/>
    </row>
    <row r="13" spans="2:10" ht="15.75" x14ac:dyDescent="0.25">
      <c r="B13" s="2">
        <v>11</v>
      </c>
      <c r="C13" s="3"/>
      <c r="D13" s="3"/>
    </row>
    <row r="14" spans="2:10" ht="15.75" x14ac:dyDescent="0.25">
      <c r="B14" s="2">
        <v>12</v>
      </c>
      <c r="C14" s="3"/>
      <c r="D14" s="3"/>
    </row>
    <row r="17" spans="2:5" x14ac:dyDescent="0.25">
      <c r="B17" s="1" t="s">
        <v>2</v>
      </c>
      <c r="C17" s="1" t="s">
        <v>0</v>
      </c>
      <c r="D17" s="1" t="s">
        <v>14</v>
      </c>
      <c r="E17" s="1" t="s">
        <v>15</v>
      </c>
    </row>
    <row r="18" spans="2:5" ht="15.75" x14ac:dyDescent="0.25">
      <c r="B18" s="2">
        <v>1</v>
      </c>
      <c r="C18" s="3">
        <v>110150025803</v>
      </c>
      <c r="D18" s="3"/>
      <c r="E18" s="15">
        <v>3</v>
      </c>
    </row>
  </sheetData>
  <mergeCells count="1">
    <mergeCell ref="B1:D1"/>
  </mergeCells>
  <conditionalFormatting sqref="D5">
    <cfRule type="duplicateValues" dxfId="36" priority="69"/>
  </conditionalFormatting>
  <conditionalFormatting sqref="D11">
    <cfRule type="duplicateValues" dxfId="35" priority="62"/>
  </conditionalFormatting>
  <conditionalFormatting sqref="D12">
    <cfRule type="duplicateValues" dxfId="34" priority="59"/>
  </conditionalFormatting>
  <conditionalFormatting sqref="D13">
    <cfRule type="duplicateValues" dxfId="33" priority="55"/>
  </conditionalFormatting>
  <conditionalFormatting sqref="D14">
    <cfRule type="duplicateValues" dxfId="32" priority="52"/>
  </conditionalFormatting>
  <conditionalFormatting sqref="D8">
    <cfRule type="duplicateValues" dxfId="31" priority="46"/>
  </conditionalFormatting>
  <conditionalFormatting sqref="D9:D10">
    <cfRule type="duplicateValues" dxfId="30" priority="45"/>
  </conditionalFormatting>
  <conditionalFormatting sqref="C5 D4">
    <cfRule type="duplicateValues" dxfId="29" priority="85"/>
  </conditionalFormatting>
  <conditionalFormatting sqref="C8">
    <cfRule type="duplicateValues" dxfId="28" priority="87"/>
  </conditionalFormatting>
  <conditionalFormatting sqref="C9:C10">
    <cfRule type="duplicateValues" dxfId="27" priority="88"/>
  </conditionalFormatting>
  <conditionalFormatting sqref="C11">
    <cfRule type="duplicateValues" dxfId="26" priority="89"/>
  </conditionalFormatting>
  <conditionalFormatting sqref="C12">
    <cfRule type="duplicateValues" dxfId="25" priority="90"/>
  </conditionalFormatting>
  <conditionalFormatting sqref="C13">
    <cfRule type="duplicateValues" dxfId="24" priority="91"/>
  </conditionalFormatting>
  <conditionalFormatting sqref="C14">
    <cfRule type="duplicateValues" dxfId="23" priority="92"/>
  </conditionalFormatting>
  <conditionalFormatting sqref="D3">
    <cfRule type="duplicateValues" dxfId="22" priority="24"/>
  </conditionalFormatting>
  <conditionalFormatting sqref="C3">
    <cfRule type="duplicateValues" dxfId="21" priority="25"/>
  </conditionalFormatting>
  <conditionalFormatting sqref="C4">
    <cfRule type="duplicateValues" dxfId="20" priority="16"/>
  </conditionalFormatting>
  <conditionalFormatting sqref="C6:C7">
    <cfRule type="duplicateValues" dxfId="19" priority="6"/>
  </conditionalFormatting>
  <conditionalFormatting sqref="D6">
    <cfRule type="duplicateValues" dxfId="18" priority="3"/>
  </conditionalFormatting>
  <conditionalFormatting sqref="D7">
    <cfRule type="duplicateValues" dxfId="17" priority="2"/>
  </conditionalFormatting>
  <conditionalFormatting sqref="C18">
    <cfRule type="duplicateValues" dxfId="16" priority="93"/>
  </conditionalFormatting>
  <conditionalFormatting sqref="D18">
    <cfRule type="duplicateValues" dxfId="15" priority="94"/>
  </conditionalFormatting>
  <dataValidations count="1">
    <dataValidation operator="equal" allowBlank="1" showInputMessage="1" showErrorMessage="1" sqref="C9:C11 C14 C3 C7 H5:I10"/>
  </dataValidations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G9"/>
  <sheetViews>
    <sheetView workbookViewId="0">
      <selection activeCell="J11" sqref="J11"/>
    </sheetView>
  </sheetViews>
  <sheetFormatPr baseColWidth="10" defaultRowHeight="15" x14ac:dyDescent="0.25"/>
  <cols>
    <col min="4" max="7" width="16.85546875" customWidth="1"/>
  </cols>
  <sheetData>
    <row r="8" spans="4:7" x14ac:dyDescent="0.25">
      <c r="D8" s="1" t="s">
        <v>2</v>
      </c>
      <c r="E8" s="1" t="s">
        <v>0</v>
      </c>
      <c r="F8" s="1" t="s">
        <v>14</v>
      </c>
      <c r="G8" s="1" t="s">
        <v>15</v>
      </c>
    </row>
    <row r="9" spans="4:7" ht="15.75" x14ac:dyDescent="0.25">
      <c r="D9" s="2">
        <v>1</v>
      </c>
      <c r="E9" s="3">
        <v>110150025602</v>
      </c>
      <c r="F9" s="3" t="s">
        <v>16</v>
      </c>
      <c r="G9" s="15">
        <v>4</v>
      </c>
    </row>
  </sheetData>
  <conditionalFormatting sqref="F9">
    <cfRule type="duplicateValues" dxfId="14" priority="1"/>
  </conditionalFormatting>
  <conditionalFormatting sqref="E9">
    <cfRule type="duplicateValues" dxfId="13" priority="2"/>
  </conditionalFormatting>
  <dataValidations count="1">
    <dataValidation operator="equal" allowBlank="1" showInputMessage="1" showErrorMessage="1" sqref="E9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5" sqref="E5"/>
    </sheetView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9"/>
  <sheetViews>
    <sheetView workbookViewId="0">
      <selection activeCell="B2" sqref="B2:D14"/>
    </sheetView>
  </sheetViews>
  <sheetFormatPr baseColWidth="10" defaultRowHeight="15" x14ac:dyDescent="0.25"/>
  <cols>
    <col min="1" max="1" width="11.42578125" style="7"/>
    <col min="2" max="2" width="15" style="7" customWidth="1"/>
    <col min="3" max="3" width="24.28515625" style="7" customWidth="1"/>
    <col min="4" max="4" width="26.85546875" style="7" customWidth="1"/>
    <col min="5" max="16384" width="11.42578125" style="7"/>
  </cols>
  <sheetData>
    <row r="1" spans="2:4" ht="18.75" x14ac:dyDescent="0.25">
      <c r="B1" s="21" t="s">
        <v>3</v>
      </c>
      <c r="C1" s="21"/>
      <c r="D1" s="21"/>
    </row>
    <row r="2" spans="2:4" x14ac:dyDescent="0.25">
      <c r="B2" s="8" t="s">
        <v>2</v>
      </c>
      <c r="C2" s="8" t="s">
        <v>0</v>
      </c>
      <c r="D2" s="8" t="s">
        <v>1</v>
      </c>
    </row>
    <row r="3" spans="2:4" ht="15.75" x14ac:dyDescent="0.25">
      <c r="B3" s="9">
        <v>1</v>
      </c>
      <c r="C3" s="10">
        <v>100452000803</v>
      </c>
      <c r="D3" s="10" t="s">
        <v>4</v>
      </c>
    </row>
    <row r="4" spans="2:4" ht="15.75" x14ac:dyDescent="0.25">
      <c r="B4" s="9">
        <v>2</v>
      </c>
      <c r="C4" s="10">
        <v>80451901702</v>
      </c>
      <c r="D4" s="10">
        <v>80261900803</v>
      </c>
    </row>
    <row r="5" spans="2:4" ht="15.75" x14ac:dyDescent="0.25">
      <c r="B5" s="9">
        <v>3</v>
      </c>
      <c r="C5" s="10">
        <v>140153900202</v>
      </c>
      <c r="D5" s="10" t="s">
        <v>6</v>
      </c>
    </row>
    <row r="6" spans="2:4" ht="15.75" x14ac:dyDescent="0.25">
      <c r="B6" s="9">
        <v>4</v>
      </c>
      <c r="C6" s="10">
        <v>70150038703</v>
      </c>
      <c r="D6" s="10" t="s">
        <v>5</v>
      </c>
    </row>
    <row r="7" spans="2:4" ht="15.75" x14ac:dyDescent="0.25">
      <c r="B7" s="9">
        <v>5</v>
      </c>
      <c r="C7" s="10">
        <v>70150041401</v>
      </c>
      <c r="D7" s="10" t="s">
        <v>7</v>
      </c>
    </row>
    <row r="8" spans="2:4" ht="15.75" x14ac:dyDescent="0.25">
      <c r="B8" s="9">
        <v>6</v>
      </c>
      <c r="C8" s="10">
        <v>80261900803</v>
      </c>
      <c r="D8" s="10">
        <v>80450904202</v>
      </c>
    </row>
    <row r="9" spans="2:4" ht="15.75" x14ac:dyDescent="0.25">
      <c r="B9" s="9">
        <v>7</v>
      </c>
      <c r="C9" s="10">
        <v>170170096603</v>
      </c>
      <c r="D9" s="10" t="s">
        <v>8</v>
      </c>
    </row>
    <row r="10" spans="2:4" ht="15.75" x14ac:dyDescent="0.25">
      <c r="B10" s="9">
        <v>8</v>
      </c>
      <c r="C10" s="10" t="s">
        <v>9</v>
      </c>
      <c r="D10" s="10" t="s">
        <v>10</v>
      </c>
    </row>
    <row r="12" spans="2:4" x14ac:dyDescent="0.25">
      <c r="B12" s="11" t="s">
        <v>11</v>
      </c>
      <c r="C12" s="12">
        <f>C14-C13</f>
        <v>1280</v>
      </c>
      <c r="D12" s="13">
        <f>C12/C14</f>
        <v>0.99378881987577639</v>
      </c>
    </row>
    <row r="13" spans="2:4" x14ac:dyDescent="0.25">
      <c r="B13" s="11" t="s">
        <v>12</v>
      </c>
      <c r="C13" s="12">
        <v>8</v>
      </c>
      <c r="D13" s="13">
        <f>C13/C14</f>
        <v>6.2111801242236021E-3</v>
      </c>
    </row>
    <row r="14" spans="2:4" x14ac:dyDescent="0.25">
      <c r="B14" s="11" t="s">
        <v>13</v>
      </c>
      <c r="C14" s="12">
        <v>1288</v>
      </c>
      <c r="D14" s="13">
        <v>1</v>
      </c>
    </row>
    <row r="15" spans="2:4" ht="15.75" x14ac:dyDescent="0.25">
      <c r="B15" s="14"/>
    </row>
    <row r="17" spans="2:4" x14ac:dyDescent="0.25">
      <c r="B17" s="4"/>
      <c r="C17" s="5"/>
      <c r="D17" s="6"/>
    </row>
    <row r="18" spans="2:4" x14ac:dyDescent="0.25">
      <c r="B18" s="4"/>
      <c r="C18" s="5"/>
      <c r="D18" s="6"/>
    </row>
    <row r="19" spans="2:4" x14ac:dyDescent="0.25">
      <c r="B19" s="4"/>
      <c r="C19" s="5"/>
      <c r="D19" s="6"/>
    </row>
  </sheetData>
  <mergeCells count="1">
    <mergeCell ref="B1:D1"/>
  </mergeCells>
  <conditionalFormatting sqref="D4">
    <cfRule type="duplicateValues" dxfId="12" priority="14"/>
  </conditionalFormatting>
  <conditionalFormatting sqref="D3">
    <cfRule type="duplicateValues" dxfId="11" priority="13"/>
  </conditionalFormatting>
  <conditionalFormatting sqref="D5:D6">
    <cfRule type="duplicateValues" dxfId="10" priority="9"/>
  </conditionalFormatting>
  <conditionalFormatting sqref="D7">
    <cfRule type="duplicateValues" dxfId="9" priority="7"/>
  </conditionalFormatting>
  <conditionalFormatting sqref="D8">
    <cfRule type="duplicateValues" dxfId="8" priority="5"/>
  </conditionalFormatting>
  <conditionalFormatting sqref="D9">
    <cfRule type="duplicateValues" dxfId="7" priority="3"/>
  </conditionalFormatting>
  <conditionalFormatting sqref="D10">
    <cfRule type="duplicateValues" dxfId="6" priority="1"/>
  </conditionalFormatting>
  <conditionalFormatting sqref="C5:C6">
    <cfRule type="duplicateValues" dxfId="5" priority="27"/>
  </conditionalFormatting>
  <conditionalFormatting sqref="C7">
    <cfRule type="duplicateValues" dxfId="4" priority="28"/>
  </conditionalFormatting>
  <conditionalFormatting sqref="C8">
    <cfRule type="duplicateValues" dxfId="3" priority="29"/>
  </conditionalFormatting>
  <conditionalFormatting sqref="C9">
    <cfRule type="duplicateValues" dxfId="2" priority="30"/>
  </conditionalFormatting>
  <conditionalFormatting sqref="C10">
    <cfRule type="duplicateValues" dxfId="1" priority="31"/>
  </conditionalFormatting>
  <conditionalFormatting sqref="C3:C4">
    <cfRule type="duplicateValues" dxfId="0" priority="33"/>
  </conditionalFormatting>
  <dataValidations count="1">
    <dataValidation operator="equal" allowBlank="1" showInputMessage="1" showErrorMessage="1" sqref="C5:C7 C10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enero</vt:lpstr>
      <vt:lpstr>Hoja3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William Constante</dc:creator>
  <cp:lastModifiedBy>INEC Pablo Peñafiel</cp:lastModifiedBy>
  <dcterms:created xsi:type="dcterms:W3CDTF">2020-01-13T14:23:04Z</dcterms:created>
  <dcterms:modified xsi:type="dcterms:W3CDTF">2025-02-27T14:05:26Z</dcterms:modified>
</cp:coreProperties>
</file>